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سجل أصحاب المصلحة" sheetId="1" state="visible" r:id="rId3"/>
    <sheet name="سجل المخاطر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<sst xmlns="http://schemas.openxmlformats.org/spreadsheetml/2006/main" count="170" uniqueCount="120">
  <si>
    <t xml:space="preserve">الرمز</t>
  </si>
  <si>
    <t xml:space="preserve">صاحب المصلحة</t>
  </si>
  <si>
    <t xml:space="preserve">النوع</t>
  </si>
  <si>
    <t xml:space="preserve">الدور في المشروع</t>
  </si>
  <si>
    <t xml:space="preserve">التأثير</t>
  </si>
  <si>
    <t xml:space="preserve">الاهتمام</t>
  </si>
  <si>
    <t xml:space="preserve">استراتيجية الإشراك</t>
  </si>
  <si>
    <t xml:space="preserve">قناة وتكرار التواصل</t>
  </si>
  <si>
    <t xml:space="preserve">ST-01</t>
  </si>
  <si>
    <t xml:space="preserve">راعي المشروع / المستثمر</t>
  </si>
  <si>
    <t xml:space="preserve">داخلي</t>
  </si>
  <si>
    <t xml:space="preserve">التمويل واعتماد القرارات والتغييرات الكبرى</t>
  </si>
  <si>
    <t xml:space="preserve">عالٍ</t>
  </si>
  <si>
    <t xml:space="preserve">إدارة عن قرب</t>
  </si>
  <si>
    <t xml:space="preserve">اجتماع شهري + تقرير معالم</t>
  </si>
  <si>
    <t xml:space="preserve">ST-02</t>
  </si>
  <si>
    <t xml:space="preserve">مدير المشروع (محمد)</t>
  </si>
  <si>
    <t xml:space="preserve">التخطيط والتنفيذ وإدارة الفريق والمخاطر</t>
  </si>
  <si>
    <t xml:space="preserve">يومي</t>
  </si>
  <si>
    <t xml:space="preserve">ST-03</t>
  </si>
  <si>
    <t xml:space="preserve">منظومة التطوير بالذكاء الاصطناعي (Claude Code وأمثالها)</t>
  </si>
  <si>
    <t xml:space="preserve">أداة</t>
  </si>
  <si>
    <t xml:space="preserve">توليد الكود والاختبارات والوثائق تحت إشراف المهندس الرئيسي</t>
  </si>
  <si>
    <t xml:space="preserve">متوسط</t>
  </si>
  <si>
    <t xml:space="preserve">-</t>
  </si>
  <si>
    <t xml:space="preserve">حوكمة: مراجعة بشرية إلزامية لكل مخرج</t>
  </si>
  <si>
    <t xml:space="preserve">استخدام يومي ضمن Sprint أسبوعين</t>
  </si>
  <si>
    <t xml:space="preserve">ST-04</t>
  </si>
  <si>
    <t xml:space="preserve">مصمم UX/UI (مستقل جزئي)</t>
  </si>
  <si>
    <t xml:space="preserve">خارجي</t>
  </si>
  <si>
    <t xml:space="preserve">تصميم الواجهات ورحلات المستخدم</t>
  </si>
  <si>
    <t xml:space="preserve">إشراك في نقاط التصميم</t>
  </si>
  <si>
    <t xml:space="preserve">جلسات عند كل حزمة شاشات</t>
  </si>
  <si>
    <t xml:space="preserve">ST-05</t>
  </si>
  <si>
    <t xml:space="preserve">مختبر جودة + مراجع أمني (مستقلان جزئيان)</t>
  </si>
  <si>
    <t xml:space="preserve">اختبار مستقل للكود المولّد بالذكاء الاصطناعي + مراجعة أمنية قبل الإطلاق</t>
  </si>
  <si>
    <t xml:space="preserve">إشراك عند المعالم</t>
  </si>
  <si>
    <t xml:space="preserve">نهاية كل معلم + مراجعة أمنية نهائية</t>
  </si>
  <si>
    <t xml:space="preserve">ST-06</t>
  </si>
  <si>
    <t xml:space="preserve">تجار تجزئة مرشحون للتجربة</t>
  </si>
  <si>
    <t xml:space="preserve">التحقق من المتطلبات واختبار القبول للمشتري</t>
  </si>
  <si>
    <t xml:space="preserve">منخفض</t>
  </si>
  <si>
    <t xml:space="preserve">إشراك في جلسات التحقق</t>
  </si>
  <si>
    <t xml:space="preserve">جلسة كل معلم رئيسي</t>
  </si>
  <si>
    <t xml:space="preserve">ST-07</t>
  </si>
  <si>
    <t xml:space="preserve">موردون مرشحون للتجربة</t>
  </si>
  <si>
    <t xml:space="preserve">التحقق من بوابة المورد ودورة الطلب</t>
  </si>
  <si>
    <t xml:space="preserve">ST-08</t>
  </si>
  <si>
    <t xml:space="preserve">مزودو بوابات الدفع</t>
  </si>
  <si>
    <t xml:space="preserve">بيئات Sandbox والاعتماد الفني للتكامل</t>
  </si>
  <si>
    <t xml:space="preserve">إبقاء راضين</t>
  </si>
  <si>
    <t xml:space="preserve">حسب الحاجة أثناء التكامل</t>
  </si>
  <si>
    <t xml:space="preserve">ST-09</t>
  </si>
  <si>
    <t xml:space="preserve">هيئة الزكاة والضريبة (ZATCA)</t>
  </si>
  <si>
    <t xml:space="preserve">تنظيمي</t>
  </si>
  <si>
    <t xml:space="preserve">متطلبات الفوترة الإلكترونية الملزمة</t>
  </si>
  <si>
    <t xml:space="preserve">مراقبة الالتزام</t>
  </si>
  <si>
    <t xml:space="preserve">متابعة التحديثات التنظيمية</t>
  </si>
  <si>
    <t xml:space="preserve">ST-10</t>
  </si>
  <si>
    <t xml:space="preserve">مستشار قانوني</t>
  </si>
  <si>
    <t xml:space="preserve">مراجعة العلامة التجارية ومصادر بيانات الأسعار وPDPL</t>
  </si>
  <si>
    <t xml:space="preserve">إشراك عند الحاجة</t>
  </si>
  <si>
    <t xml:space="preserve">نقاط مراجعة محددة</t>
  </si>
  <si>
    <t xml:space="preserve">وصف الخطر</t>
  </si>
  <si>
    <t xml:space="preserve">الفئة</t>
  </si>
  <si>
    <t xml:space="preserve">الاحتمال (1-5)</t>
  </si>
  <si>
    <t xml:space="preserve">الأثر (1-5)</t>
  </si>
  <si>
    <t xml:space="preserve">الدرجة</t>
  </si>
  <si>
    <t xml:space="preserve">المستوى</t>
  </si>
  <si>
    <t xml:space="preserve">خطة الاستجابة</t>
  </si>
  <si>
    <t xml:space="preserve">المالك</t>
  </si>
  <si>
    <t xml:space="preserve">الحالة</t>
  </si>
  <si>
    <t xml:space="preserve">RK-01</t>
  </si>
  <si>
    <t xml:space="preserve">تعارض الاسم التجاري المختار مع علامات قائمة</t>
  </si>
  <si>
    <t xml:space="preserve">قانوني</t>
  </si>
  <si>
    <t xml:space="preserve">بحث رسمي في SAIP قبل الاعتماد + حجز النطاقات فور الحسم + بدائل جاهزة</t>
  </si>
  <si>
    <t xml:space="preserve">مدير المشروع</t>
  </si>
  <si>
    <t xml:space="preserve">مفتوح</t>
  </si>
  <si>
    <t xml:space="preserve">RK-02</t>
  </si>
  <si>
    <t xml:space="preserve">اعتماد كامل المشروع على شخص واحد (Bus Factor) — مرض أو انشغال المهندس الرئيسي</t>
  </si>
  <si>
    <t xml:space="preserve">موارد</t>
  </si>
  <si>
    <t xml:space="preserve">توثيق شامل آلي مع كل Sprint + مستودع منظم + مطور مستقل احتياطي مطلع على المشروع</t>
  </si>
  <si>
    <t xml:space="preserve">راعي المشروع</t>
  </si>
  <si>
    <t xml:space="preserve">RK-03</t>
  </si>
  <si>
    <t xml:space="preserve">تضخم النطاق بإضافة متطلبات أثناء التطوير</t>
  </si>
  <si>
    <t xml:space="preserve">نطاق</t>
  </si>
  <si>
    <t xml:space="preserve">تجميد المتطلبات المصدّقة + كل إضافة عبر طلب تغيير رسمي بتقييم أثر</t>
  </si>
  <si>
    <t xml:space="preserve">RK-04</t>
  </si>
  <si>
    <t xml:space="preserve">صعوبة الحصول على بيانات أسعار سوق موثوقة للمحرك</t>
  </si>
  <si>
    <t xml:space="preserve">تقني</t>
  </si>
  <si>
    <t xml:space="preserve">البدء بفئات محدودة + ثلاث قنوات مصادر + عرض درجة الثقة بدل الإخفاء</t>
  </si>
  <si>
    <t xml:space="preserve">RK-05</t>
  </si>
  <si>
    <t xml:space="preserve">تغيّر متطلبات ZATCA أو بوابات الدفع أثناء التطوير</t>
  </si>
  <si>
    <t xml:space="preserve">طبقة تكامل معزولة (Adapter) لكل مزود + متابعة دورية للتحديثات</t>
  </si>
  <si>
    <t xml:space="preserve">المهندس الرئيسي</t>
  </si>
  <si>
    <t xml:space="preserve">RK-06</t>
  </si>
  <si>
    <t xml:space="preserve">تجاوز الميزانية بسبب سوق مواهب مرتفع التكلفة</t>
  </si>
  <si>
    <t xml:space="preserve">مالي</t>
  </si>
  <si>
    <t xml:space="preserve">تعاقد مرحلي + مزيج فريق محلي وعن بُعد + احتياطي 15% معتمد</t>
  </si>
  <si>
    <t xml:space="preserve">RK-07</t>
  </si>
  <si>
    <t xml:space="preserve">أداء ضعيف للبحث العربي أو مطابقة المنتجات</t>
  </si>
  <si>
    <t xml:space="preserve">نموذج أولي مبكر في مرحلة التصميم لمحرك البحث والمطابقة قبل الالتزام</t>
  </si>
  <si>
    <t xml:space="preserve">RK-08</t>
  </si>
  <si>
    <t xml:space="preserve">ثغرات أمنية في التعامل مع المدفوعات والبيانات</t>
  </si>
  <si>
    <t xml:space="preserve">أمني</t>
  </si>
  <si>
    <t xml:space="preserve">معايير OWASP من اليوم الأول + مراجعة أمنية خارجية قبل الإطلاق + عدم تخزين بيانات بطاقات</t>
  </si>
  <si>
    <t xml:space="preserve">RK-09</t>
  </si>
  <si>
    <t xml:space="preserve">تأخر التصديق على المستندات يؤخر بدء التطوير</t>
  </si>
  <si>
    <t xml:space="preserve">إداري</t>
  </si>
  <si>
    <t xml:space="preserve">مهل مراجعة محددة بأسبوع لكل مستند + تصعيد للراعي</t>
  </si>
  <si>
    <t xml:space="preserve">RK-10</t>
  </si>
  <si>
    <t xml:space="preserve">اعتماد مفرط على مزود سحابي واحد</t>
  </si>
  <si>
    <t xml:space="preserve">Docker من البداية يجعل النقل بين المزودين ممكناً بكلفة منخفضة</t>
  </si>
  <si>
    <t xml:space="preserve">RK-11</t>
  </si>
  <si>
    <t xml:space="preserve">أخطاء وثغرات أمنية في الكود المولّد بالذكاء الاصطناعي (ثبت في تقييم النموذج الأولي)</t>
  </si>
  <si>
    <t xml:space="preserve">تقني/أمني</t>
  </si>
  <si>
    <t xml:space="preserve">قاعدة: لا دمج دون مراجعة بشرية + اختبارات آلية لمسارات المال + مراجعة أمنية خارجية إلزامية قبل الإطلاق</t>
  </si>
  <si>
    <t xml:space="preserve">RK-12</t>
  </si>
  <si>
    <t xml:space="preserve">ارتفاع أسعار أدوات الذكاء الاصطناعي أو تغيّر شروطها</t>
  </si>
  <si>
    <t xml:space="preserve">تعدد المزودين (Claude/بدائل) + نماذج محلية على خادم Contabo كخط رجوع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</si>
</sst>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F5FA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CC5B7"/>
      </left>
      <right style="thin">
        <color rgb="FF9CC5B7"/>
      </right>
      <top style="thin">
        <color rgb="FF9CC5B7"/>
      </top>
      <bottom style="thin">
        <color rgb="FF9CC5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CBCB"/>
        </patternFill>
      </fill>
    </dxf>
    <dxf>
      <fill>
        <patternFill>
          <bgColor rgb="FFFCE8C8"/>
        </patternFill>
      </fill>
    </dxf>
    <dxf>
      <fill>
        <patternFill>
          <bgColor rgb="FFD9F2E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9CC5B7"/>
      <rgbColor rgb="FF808080"/>
      <rgbColor rgb="FF9999FF"/>
      <rgbColor rgb="FF993366"/>
      <rgbColor rgb="FFF5FA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E4"/>
      <rgbColor rgb="FFFCE8C8"/>
      <rgbColor rgb="FF99CCFF"/>
      <rgbColor rgb="FFFF99CC"/>
      <rgbColor rgb="FFCC99FF"/>
      <rgbColor rgb="FFF8CBC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40"/>
    <col collapsed="false" customWidth="true" hidden="false" outlineLevel="0" max="6" min="5" style="0" width="10"/>
    <col collapsed="false" customWidth="true" hidden="false" outlineLevel="0" max="7" min="7" style="0" width="22"/>
    <col collapsed="false" customWidth="true" hidden="false" outlineLevel="0" max="8" min="8" style="0" width="26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33.75" hidden="false" customHeight="true" outlineLevel="0" collapsed="false">
      <c r="A2" s="2" t="s">
        <v>8</v>
      </c>
      <c r="B2" s="3" t="s">
        <v>9</v>
      </c>
      <c r="C2" s="2" t="s">
        <v>10</v>
      </c>
      <c r="D2" s="3" t="s">
        <v>11</v>
      </c>
      <c r="E2" s="2" t="s">
        <v>12</v>
      </c>
      <c r="F2" s="2" t="s">
        <v>12</v>
      </c>
      <c r="G2" s="3" t="s">
        <v>13</v>
      </c>
      <c r="H2" s="3" t="s">
        <v>14</v>
      </c>
    </row>
    <row r="3" customFormat="false" ht="33.75" hidden="false" customHeight="true" outlineLevel="0" collapsed="false">
      <c r="A3" s="4" t="s">
        <v>15</v>
      </c>
      <c r="B3" s="5" t="s">
        <v>16</v>
      </c>
      <c r="C3" s="4" t="s">
        <v>10</v>
      </c>
      <c r="D3" s="5" t="s">
        <v>17</v>
      </c>
      <c r="E3" s="4" t="s">
        <v>12</v>
      </c>
      <c r="F3" s="4" t="s">
        <v>12</v>
      </c>
      <c r="G3" s="5" t="s">
        <v>13</v>
      </c>
      <c r="H3" s="5" t="s">
        <v>18</v>
      </c>
    </row>
    <row r="4" customFormat="false" ht="33.75" hidden="false" customHeight="true" outlineLevel="0" collapsed="false">
      <c r="A4" s="2" t="s">
        <v>19</v>
      </c>
      <c r="B4" s="3" t="s">
        <v>20</v>
      </c>
      <c r="C4" s="2" t="s">
        <v>21</v>
      </c>
      <c r="D4" s="3" t="s">
        <v>22</v>
      </c>
      <c r="E4" s="2" t="s">
        <v>23</v>
      </c>
      <c r="F4" s="2" t="s">
        <v>24</v>
      </c>
      <c r="G4" s="3" t="s">
        <v>25</v>
      </c>
      <c r="H4" s="3" t="s">
        <v>26</v>
      </c>
    </row>
    <row r="5" customFormat="false" ht="33.75" hidden="false" customHeight="true" outlineLevel="0" collapsed="false">
      <c r="A5" s="4" t="s">
        <v>27</v>
      </c>
      <c r="B5" s="5" t="s">
        <v>28</v>
      </c>
      <c r="C5" s="4" t="s">
        <v>29</v>
      </c>
      <c r="D5" s="5" t="s">
        <v>30</v>
      </c>
      <c r="E5" s="4" t="s">
        <v>23</v>
      </c>
      <c r="F5" s="4" t="s">
        <v>23</v>
      </c>
      <c r="G5" s="5" t="s">
        <v>31</v>
      </c>
      <c r="H5" s="5" t="s">
        <v>32</v>
      </c>
    </row>
    <row r="6" customFormat="false" ht="33.75" hidden="false" customHeight="true" outlineLevel="0" collapsed="false">
      <c r="A6" s="2" t="s">
        <v>33</v>
      </c>
      <c r="B6" s="3" t="s">
        <v>34</v>
      </c>
      <c r="C6" s="2" t="s">
        <v>29</v>
      </c>
      <c r="D6" s="3" t="s">
        <v>35</v>
      </c>
      <c r="E6" s="2" t="s">
        <v>12</v>
      </c>
      <c r="F6" s="2" t="s">
        <v>23</v>
      </c>
      <c r="G6" s="3" t="s">
        <v>36</v>
      </c>
      <c r="H6" s="3" t="s">
        <v>37</v>
      </c>
    </row>
    <row r="7" customFormat="false" ht="33.75" hidden="false" customHeight="true" outlineLevel="0" collapsed="false">
      <c r="A7" s="4" t="s">
        <v>38</v>
      </c>
      <c r="B7" s="5" t="s">
        <v>39</v>
      </c>
      <c r="C7" s="4" t="s">
        <v>29</v>
      </c>
      <c r="D7" s="5" t="s">
        <v>40</v>
      </c>
      <c r="E7" s="4" t="s">
        <v>41</v>
      </c>
      <c r="F7" s="4" t="s">
        <v>12</v>
      </c>
      <c r="G7" s="5" t="s">
        <v>42</v>
      </c>
      <c r="H7" s="5" t="s">
        <v>43</v>
      </c>
    </row>
    <row r="8" customFormat="false" ht="33.75" hidden="false" customHeight="true" outlineLevel="0" collapsed="false">
      <c r="A8" s="2" t="s">
        <v>44</v>
      </c>
      <c r="B8" s="3" t="s">
        <v>45</v>
      </c>
      <c r="C8" s="2" t="s">
        <v>29</v>
      </c>
      <c r="D8" s="3" t="s">
        <v>46</v>
      </c>
      <c r="E8" s="2" t="s">
        <v>41</v>
      </c>
      <c r="F8" s="2" t="s">
        <v>12</v>
      </c>
      <c r="G8" s="3" t="s">
        <v>42</v>
      </c>
      <c r="H8" s="3" t="s">
        <v>43</v>
      </c>
    </row>
    <row r="9" customFormat="false" ht="33.75" hidden="false" customHeight="true" outlineLevel="0" collapsed="false">
      <c r="A9" s="4" t="s">
        <v>47</v>
      </c>
      <c r="B9" s="5" t="s">
        <v>48</v>
      </c>
      <c r="C9" s="4" t="s">
        <v>29</v>
      </c>
      <c r="D9" s="5" t="s">
        <v>49</v>
      </c>
      <c r="E9" s="4" t="s">
        <v>23</v>
      </c>
      <c r="F9" s="4" t="s">
        <v>41</v>
      </c>
      <c r="G9" s="5" t="s">
        <v>50</v>
      </c>
      <c r="H9" s="5" t="s">
        <v>51</v>
      </c>
    </row>
    <row r="10" customFormat="false" ht="33.75" hidden="false" customHeight="true" outlineLevel="0" collapsed="false">
      <c r="A10" s="2" t="s">
        <v>52</v>
      </c>
      <c r="B10" s="3" t="s">
        <v>53</v>
      </c>
      <c r="C10" s="2" t="s">
        <v>54</v>
      </c>
      <c r="D10" s="3" t="s">
        <v>55</v>
      </c>
      <c r="E10" s="2" t="s">
        <v>12</v>
      </c>
      <c r="F10" s="2" t="s">
        <v>41</v>
      </c>
      <c r="G10" s="3" t="s">
        <v>56</v>
      </c>
      <c r="H10" s="3" t="s">
        <v>57</v>
      </c>
    </row>
    <row r="11" customFormat="false" ht="33.75" hidden="false" customHeight="true" outlineLevel="0" collapsed="false">
      <c r="A11" s="4" t="s">
        <v>58</v>
      </c>
      <c r="B11" s="5" t="s">
        <v>59</v>
      </c>
      <c r="C11" s="4" t="s">
        <v>29</v>
      </c>
      <c r="D11" s="5" t="s">
        <v>60</v>
      </c>
      <c r="E11" s="4" t="s">
        <v>23</v>
      </c>
      <c r="F11" s="4" t="s">
        <v>41</v>
      </c>
      <c r="G11" s="5" t="s">
        <v>61</v>
      </c>
      <c r="H11" s="5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48"/>
    <col collapsed="false" customWidth="true" hidden="false" outlineLevel="0" max="9" min="9" style="0" width="14"/>
    <col collapsed="false" customWidth="true" hidden="false" outlineLevel="0" max="10" min="10" style="0" width="9"/>
  </cols>
  <sheetData>
    <row r="1" customFormat="false" ht="25.5" hidden="false" customHeight="true" outlineLevel="0" collapsed="false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</row>
    <row r="2" customFormat="false" ht="33.75" hidden="false" customHeight="true" outlineLevel="0" collapsed="false">
      <c r="A2" s="2" t="s">
        <v>72</v>
      </c>
      <c r="B2" s="3" t="s">
        <v>73</v>
      </c>
      <c r="C2" s="2" t="s">
        <v>74</v>
      </c>
      <c r="D2" s="2" t="n">
        <v>4</v>
      </c>
      <c r="E2" s="2" t="n">
        <v>4</v>
      </c>
      <c r="F2" s="6" t="n">
        <f aca="false">D2*E2</f>
        <v>16</v>
      </c>
      <c r="G2" s="2" t="str">
        <f aca="false">IF(F2&gt;=15,"حرج",IF(F2&gt;=8,"مرتفع",IF(F2&gt;=4,"متوسط","منخفض")))</f>
        <v>حرج</v>
      </c>
      <c r="H2" s="3" t="s">
        <v>75</v>
      </c>
      <c r="I2" s="2" t="s">
        <v>76</v>
      </c>
      <c r="J2" s="2" t="s">
        <v>77</v>
      </c>
    </row>
    <row r="3" customFormat="false" ht="33.75" hidden="false" customHeight="true" outlineLevel="0" collapsed="false">
      <c r="A3" s="4" t="s">
        <v>78</v>
      </c>
      <c r="B3" s="5" t="s">
        <v>79</v>
      </c>
      <c r="C3" s="4" t="s">
        <v>80</v>
      </c>
      <c r="D3" s="4" t="n">
        <v>3</v>
      </c>
      <c r="E3" s="4" t="n">
        <v>5</v>
      </c>
      <c r="F3" s="7" t="n">
        <f aca="false">D3*E3</f>
        <v>15</v>
      </c>
      <c r="G3" s="4" t="str">
        <f aca="false">IF(F3&gt;=15,"حرج",IF(F3&gt;=8,"مرتفع",IF(F3&gt;=4,"متوسط","منخفض")))</f>
        <v>حرج</v>
      </c>
      <c r="H3" s="5" t="s">
        <v>81</v>
      </c>
      <c r="I3" s="4" t="s">
        <v>82</v>
      </c>
      <c r="J3" s="4" t="s">
        <v>77</v>
      </c>
    </row>
    <row r="4" customFormat="false" ht="33.75" hidden="false" customHeight="true" outlineLevel="0" collapsed="false">
      <c r="A4" s="2" t="s">
        <v>83</v>
      </c>
      <c r="B4" s="3" t="s">
        <v>84</v>
      </c>
      <c r="C4" s="2" t="s">
        <v>85</v>
      </c>
      <c r="D4" s="2" t="n">
        <v>4</v>
      </c>
      <c r="E4" s="2" t="n">
        <v>3</v>
      </c>
      <c r="F4" s="6" t="n">
        <f aca="false">D4*E4</f>
        <v>12</v>
      </c>
      <c r="G4" s="2" t="str">
        <f aca="false">IF(F4&gt;=15,"حرج",IF(F4&gt;=8,"مرتفع",IF(F4&gt;=4,"متوسط","منخفض")))</f>
        <v>مرتفع</v>
      </c>
      <c r="H4" s="3" t="s">
        <v>86</v>
      </c>
      <c r="I4" s="2" t="s">
        <v>82</v>
      </c>
      <c r="J4" s="2" t="s">
        <v>77</v>
      </c>
    </row>
    <row r="5" customFormat="false" ht="33.75" hidden="false" customHeight="true" outlineLevel="0" collapsed="false">
      <c r="A5" s="4" t="s">
        <v>87</v>
      </c>
      <c r="B5" s="5" t="s">
        <v>88</v>
      </c>
      <c r="C5" s="4" t="s">
        <v>89</v>
      </c>
      <c r="D5" s="4" t="n">
        <v>3</v>
      </c>
      <c r="E5" s="4" t="n">
        <v>4</v>
      </c>
      <c r="F5" s="7" t="n">
        <f aca="false">D5*E5</f>
        <v>12</v>
      </c>
      <c r="G5" s="4" t="str">
        <f aca="false">IF(F5&gt;=15,"حرج",IF(F5&gt;=8,"مرتفع",IF(F5&gt;=4,"متوسط","منخفض")))</f>
        <v>مرتفع</v>
      </c>
      <c r="H5" s="5" t="s">
        <v>90</v>
      </c>
      <c r="I5" s="4" t="s">
        <v>76</v>
      </c>
      <c r="J5" s="4" t="s">
        <v>77</v>
      </c>
    </row>
    <row r="6" customFormat="false" ht="33.75" hidden="false" customHeight="true" outlineLevel="0" collapsed="false">
      <c r="A6" s="2" t="s">
        <v>91</v>
      </c>
      <c r="B6" s="3" t="s">
        <v>92</v>
      </c>
      <c r="C6" s="2" t="s">
        <v>54</v>
      </c>
      <c r="D6" s="2" t="n">
        <v>2</v>
      </c>
      <c r="E6" s="2" t="n">
        <v>4</v>
      </c>
      <c r="F6" s="6" t="n">
        <f aca="false">D6*E6</f>
        <v>8</v>
      </c>
      <c r="G6" s="2" t="str">
        <f aca="false">IF(F6&gt;=15,"حرج",IF(F6&gt;=8,"مرتفع",IF(F6&gt;=4,"متوسط","منخفض")))</f>
        <v>مرتفع</v>
      </c>
      <c r="H6" s="3" t="s">
        <v>93</v>
      </c>
      <c r="I6" s="2" t="s">
        <v>94</v>
      </c>
      <c r="J6" s="2" t="s">
        <v>77</v>
      </c>
    </row>
    <row r="7" customFormat="false" ht="33.75" hidden="false" customHeight="true" outlineLevel="0" collapsed="false">
      <c r="A7" s="4" t="s">
        <v>95</v>
      </c>
      <c r="B7" s="5" t="s">
        <v>96</v>
      </c>
      <c r="C7" s="4" t="s">
        <v>97</v>
      </c>
      <c r="D7" s="4" t="n">
        <v>3</v>
      </c>
      <c r="E7" s="4" t="n">
        <v>3</v>
      </c>
      <c r="F7" s="7" t="n">
        <f aca="false">D7*E7</f>
        <v>9</v>
      </c>
      <c r="G7" s="4" t="str">
        <f aca="false">IF(F7&gt;=15,"حرج",IF(F7&gt;=8,"مرتفع",IF(F7&gt;=4,"متوسط","منخفض")))</f>
        <v>مرتفع</v>
      </c>
      <c r="H7" s="5" t="s">
        <v>98</v>
      </c>
      <c r="I7" s="4" t="s">
        <v>82</v>
      </c>
      <c r="J7" s="4" t="s">
        <v>77</v>
      </c>
    </row>
    <row r="8" customFormat="false" ht="33.75" hidden="false" customHeight="true" outlineLevel="0" collapsed="false">
      <c r="A8" s="2" t="s">
        <v>99</v>
      </c>
      <c r="B8" s="3" t="s">
        <v>100</v>
      </c>
      <c r="C8" s="2" t="s">
        <v>89</v>
      </c>
      <c r="D8" s="2" t="n">
        <v>2</v>
      </c>
      <c r="E8" s="2" t="n">
        <v>3</v>
      </c>
      <c r="F8" s="6" t="n">
        <f aca="false">D8*E8</f>
        <v>6</v>
      </c>
      <c r="G8" s="2" t="str">
        <f aca="false">IF(F8&gt;=15,"حرج",IF(F8&gt;=8,"مرتفع",IF(F8&gt;=4,"متوسط","منخفض")))</f>
        <v>متوسط</v>
      </c>
      <c r="H8" s="3" t="s">
        <v>101</v>
      </c>
      <c r="I8" s="2" t="s">
        <v>94</v>
      </c>
      <c r="J8" s="2" t="s">
        <v>77</v>
      </c>
    </row>
    <row r="9" customFormat="false" ht="33.75" hidden="false" customHeight="true" outlineLevel="0" collapsed="false">
      <c r="A9" s="4" t="s">
        <v>102</v>
      </c>
      <c r="B9" s="5" t="s">
        <v>103</v>
      </c>
      <c r="C9" s="4" t="s">
        <v>104</v>
      </c>
      <c r="D9" s="4" t="n">
        <v>2</v>
      </c>
      <c r="E9" s="4" t="n">
        <v>5</v>
      </c>
      <c r="F9" s="7" t="n">
        <f aca="false">D9*E9</f>
        <v>10</v>
      </c>
      <c r="G9" s="4" t="str">
        <f aca="false">IF(F9&gt;=15,"حرج",IF(F9&gt;=8,"مرتفع",IF(F9&gt;=4,"متوسط","منخفض")))</f>
        <v>مرتفع</v>
      </c>
      <c r="H9" s="5" t="s">
        <v>105</v>
      </c>
      <c r="I9" s="4" t="s">
        <v>94</v>
      </c>
      <c r="J9" s="4" t="s">
        <v>77</v>
      </c>
    </row>
    <row r="10" customFormat="false" ht="33.75" hidden="false" customHeight="true" outlineLevel="0" collapsed="false">
      <c r="A10" s="2" t="s">
        <v>106</v>
      </c>
      <c r="B10" s="3" t="s">
        <v>107</v>
      </c>
      <c r="C10" s="2" t="s">
        <v>108</v>
      </c>
      <c r="D10" s="2" t="n">
        <v>3</v>
      </c>
      <c r="E10" s="2" t="n">
        <v>2</v>
      </c>
      <c r="F10" s="6" t="n">
        <f aca="false">D10*E10</f>
        <v>6</v>
      </c>
      <c r="G10" s="2" t="str">
        <f aca="false">IF(F10&gt;=15,"حرج",IF(F10&gt;=8,"مرتفع",IF(F10&gt;=4,"متوسط","منخفض")))</f>
        <v>متوسط</v>
      </c>
      <c r="H10" s="3" t="s">
        <v>109</v>
      </c>
      <c r="I10" s="2" t="s">
        <v>76</v>
      </c>
      <c r="J10" s="2" t="s">
        <v>77</v>
      </c>
    </row>
    <row r="11" customFormat="false" ht="33.75" hidden="false" customHeight="true" outlineLevel="0" collapsed="false">
      <c r="A11" s="4" t="s">
        <v>110</v>
      </c>
      <c r="B11" s="5" t="s">
        <v>111</v>
      </c>
      <c r="C11" s="4" t="s">
        <v>89</v>
      </c>
      <c r="D11" s="4" t="n">
        <v>2</v>
      </c>
      <c r="E11" s="4" t="n">
        <v>2</v>
      </c>
      <c r="F11" s="7" t="n">
        <f aca="false">D11*E11</f>
        <v>4</v>
      </c>
      <c r="G11" s="4" t="str">
        <f aca="false">IF(F11&gt;=15,"حرج",IF(F11&gt;=8,"مرتفع",IF(F11&gt;=4,"متوسط","منخفض")))</f>
        <v>متوسط</v>
      </c>
      <c r="H11" s="5" t="s">
        <v>112</v>
      </c>
      <c r="I11" s="4" t="s">
        <v>94</v>
      </c>
      <c r="J11" s="4" t="s">
        <v>77</v>
      </c>
    </row>
    <row r="12" customFormat="false" ht="33.75" hidden="false" customHeight="true" outlineLevel="0" collapsed="false">
      <c r="A12" s="2" t="s">
        <v>113</v>
      </c>
      <c r="B12" s="3" t="s">
        <v>114</v>
      </c>
      <c r="C12" s="2" t="s">
        <v>115</v>
      </c>
      <c r="D12" s="2" t="n">
        <v>4</v>
      </c>
      <c r="E12" s="2" t="n">
        <v>4</v>
      </c>
      <c r="F12" s="6" t="n">
        <f aca="false">D12*E12</f>
        <v>16</v>
      </c>
      <c r="G12" s="2" t="str">
        <f aca="false">IF(F12&gt;=15,"حرج",IF(F12&gt;=8,"مرتفع",IF(F12&gt;=4,"متوسط","منخفض")))</f>
        <v>حرج</v>
      </c>
      <c r="H12" s="3" t="s">
        <v>116</v>
      </c>
      <c r="I12" s="2" t="s">
        <v>94</v>
      </c>
      <c r="J12" s="2" t="s">
        <v>77</v>
      </c>
    </row>
    <row r="13" customFormat="false" ht="33.75" hidden="false" customHeight="true" outlineLevel="0" collapsed="false">
      <c r="A13" s="4" t="s">
        <v>117</v>
      </c>
      <c r="B13" s="5" t="s">
        <v>118</v>
      </c>
      <c r="C13" s="4" t="s">
        <v>97</v>
      </c>
      <c r="D13" s="4" t="n">
        <v>2</v>
      </c>
      <c r="E13" s="4" t="n">
        <v>2</v>
      </c>
      <c r="F13" s="7" t="n">
        <f aca="false">D13*E13</f>
        <v>4</v>
      </c>
      <c r="G13" s="4" t="str">
        <f aca="false">IF(F13&gt;=15,"حرج",IF(F13&gt;=8,"مرتفع",IF(F13&gt;=4,"متوسط","منخفض")))</f>
        <v>متوسط</v>
      </c>
      <c r="H13" s="5" t="s">
        <v>119</v>
      </c>
      <c r="I13" s="4" t="s">
        <v>94</v>
      </c>
      <c r="J13" s="4" t="s">
        <v>77</v>
      </c>
    </row>
  </sheetData>
  <conditionalFormatting sqref="F2:F13">
    <cfRule type="cellIs" priority="2" operator="greaterThanOrEqual" aboveAverage="0" equalAverage="0" bottom="0" percent="0" rank="0" text="" dxfId="0">
      <formula>15</formula>
    </cfRule>
    <cfRule type="cellIs" priority="3" operator="between" aboveAverage="0" equalAverage="0" bottom="0" percent="0" rank="0" text="" dxfId="1">
      <formula>8</formula>
      <formula>14</formula>
    </cfRule>
    <cfRule type="cellIs" priority="4" operator="lessThan" aboveAverage="0" equalAverage="0" bottom="0" percent="0" rank="0" text="" dxfId="2">
      <formula>8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2026-07-03T02:43:56Z</dcterms:created>
  <dc:creator>openpyxl</dc:creator>
  <dc:description/>
  <dc:language>en-US</dc:language>
  <cp:lastModifiedBy/>
  <dcterms:modified xsi:type="dcterms:W3CDTF">2026-07-03T02:43:56Z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